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Ramiro Landajo\Downloads\"/>
    </mc:Choice>
  </mc:AlternateContent>
  <xr:revisionPtr revIDLastSave="0" documentId="13_ncr:1_{F06183F5-655B-43A9-988A-7A4D1971EC4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stos de Calidad" sheetId="1" r:id="rId1"/>
    <sheet name="Resumen y Gráficos" sheetId="2" r:id="rId2"/>
  </sheets>
  <calcPr calcId="181029"/>
</workbook>
</file>

<file path=xl/calcChain.xml><?xml version="1.0" encoding="utf-8"?>
<calcChain xmlns="http://schemas.openxmlformats.org/spreadsheetml/2006/main">
  <c r="C8" i="2" l="1"/>
  <c r="D7" i="2" s="1"/>
  <c r="E29" i="1"/>
  <c r="E28" i="1"/>
  <c r="E27" i="1"/>
  <c r="E26" i="1"/>
  <c r="E31" i="1" s="1"/>
  <c r="D4" i="2" l="1"/>
  <c r="D5" i="2"/>
  <c r="D6" i="2"/>
</calcChain>
</file>

<file path=xl/sharedStrings.xml><?xml version="1.0" encoding="utf-8"?>
<sst xmlns="http://schemas.openxmlformats.org/spreadsheetml/2006/main" count="81" uniqueCount="60">
  <si>
    <t>ANÁLISIS DE COSTOS DE CALIDAD  –  MediSalud App  |  Período: 14 meses de desarrollo + 6 meses post-lanzamiento</t>
  </si>
  <si>
    <t>#</t>
  </si>
  <si>
    <t>Código</t>
  </si>
  <si>
    <t>Descripción del Costo</t>
  </si>
  <si>
    <t>Categoría</t>
  </si>
  <si>
    <t>Monto Aproximado (USD)</t>
  </si>
  <si>
    <t>PR-01</t>
  </si>
  <si>
    <t>Capacitación del equipo en metodologías ágiles y buenas prácticas de desarrollo seguro (OWASP, SOLID)</t>
  </si>
  <si>
    <t>Prevención</t>
  </si>
  <si>
    <t>PR-02</t>
  </si>
  <si>
    <t>Elaboración y revisión del documento de requisitos funcionales y no funcionales con stakeholders</t>
  </si>
  <si>
    <t>PR-03</t>
  </si>
  <si>
    <t>Implementación y configuración de pipeline CI/CD con integración de análisis estático (SonarQube)</t>
  </si>
  <si>
    <t>PR-04</t>
  </si>
  <si>
    <t>Auditoría de arquitectura de software: revisión del diseño de microservicios y base de datos</t>
  </si>
  <si>
    <t>PR-05</t>
  </si>
  <si>
    <t>Definición y documentación del plan de pruebas (test plan) y estrategia de QA</t>
  </si>
  <si>
    <t>EV-01</t>
  </si>
  <si>
    <t>Testing funcional manual: ejecución de 1.200 casos de prueba sobre 5 sprints por consultora externa</t>
  </si>
  <si>
    <t>Evaluación</t>
  </si>
  <si>
    <t>EV-02</t>
  </si>
  <si>
    <t>Testing automatizado de regresión (Selenium): desarrollo y mantenimiento de suite de 200 scripts</t>
  </si>
  <si>
    <t>EV-03</t>
  </si>
  <si>
    <t>Auditoría de seguridad y penetration testing (pentesting) previo al lanzamiento</t>
  </si>
  <si>
    <t>EV-04</t>
  </si>
  <si>
    <t>Pruebas de usabilidad con grupo de 20 afiliados reales (investigación UX / user testing sessions)</t>
  </si>
  <si>
    <t>EV-05</t>
  </si>
  <si>
    <t>Revisiones de código entre pares (peer code reviews) documentadas: 200 horas de ingeniería</t>
  </si>
  <si>
    <t>FI-01</t>
  </si>
  <si>
    <t>Retrabajo por cambio de requisitos en módulo de autorizaciones: re-diseño + re-codificación</t>
  </si>
  <si>
    <t>Fallas Internas</t>
  </si>
  <si>
    <t>FI-02</t>
  </si>
  <si>
    <t>Corrección de 67 bugs detectados en fases de QA antes del lanzamiento (severidad media-alta)</t>
  </si>
  <si>
    <t>FI-03</t>
  </si>
  <si>
    <t>Re-testing y re-certificación post-corrección de defectos críticos en módulo de pagos</t>
  </si>
  <si>
    <t>FI-04</t>
  </si>
  <si>
    <t>Horas perdidas por gestión e investigación de incidentes internos (análisis causa raíz)</t>
  </si>
  <si>
    <t>FI-05</t>
  </si>
  <si>
    <t>Rediseño del flujo de autenticación (biometría / token) tras detección de vulnerabilidad en QA</t>
  </si>
  <si>
    <t>FE-01</t>
  </si>
  <si>
    <t>Hotfixes de emergencia en producción: 3 parches críticos lanzados en primeras 6 semanas post-go-live</t>
  </si>
  <si>
    <t>Fallas Externas</t>
  </si>
  <si>
    <t>FE-02</t>
  </si>
  <si>
    <t>Atención de reclamos de afiliados por fallas en descarga de credencial digital (call center + backoffice)</t>
  </si>
  <si>
    <t>FE-03</t>
  </si>
  <si>
    <t>Penalización regulatoria de la Superintendencia de Seguros por indisponibilidad del servicio</t>
  </si>
  <si>
    <t>FE-04</t>
  </si>
  <si>
    <t>Gestión de crisis de reputación: agencia de comunicación + publicación de comunicados y respuestas en redes</t>
  </si>
  <si>
    <t>FE-05</t>
  </si>
  <si>
    <t>Contratación urgente de recursos adicionales de desarrollo para cubrir bug crítico en módulo de turnos</t>
  </si>
  <si>
    <t xml:space="preserve">  SUBTOTAL  –  PREVENCIÓN</t>
  </si>
  <si>
    <t xml:space="preserve">  SUBTOTAL  –  EVALUACIÓN</t>
  </si>
  <si>
    <t xml:space="preserve">  SUBTOTAL  –  FALLAS INTERNAS</t>
  </si>
  <si>
    <t xml:space="preserve">  SUBTOTAL  –  FALLAS EXTERNAS</t>
  </si>
  <si>
    <t xml:space="preserve">  COSTO TOTAL DE CALIDAD (CoQ)</t>
  </si>
  <si>
    <t>RESUMEN EJECUTIVO  –  COSTOS DE CALIDAD  |  MediSalud App</t>
  </si>
  <si>
    <t>Monto (USD)</t>
  </si>
  <si>
    <t>% del Total</t>
  </si>
  <si>
    <t>TOTAL CoQ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</si>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</sst>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21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i/>
      <sz val="10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1E7145"/>
      <name val="Arial"/>
    </font>
    <font>
      <b/>
      <sz val="10"/>
      <color rgb="FF2E75B6"/>
      <name val="Arial"/>
    </font>
    <font>
      <b/>
      <sz val="10"/>
      <color rgb="FFC55A11"/>
      <name val="Arial"/>
    </font>
    <font>
      <b/>
      <sz val="10"/>
      <color rgb="FFC00000"/>
      <name val="Arial"/>
    </font>
    <font>
      <b/>
      <sz val="11"/>
      <color rgb="FF1E7145"/>
      <name val="Arial"/>
    </font>
    <font>
      <b/>
      <sz val="11"/>
      <color rgb="FF2E75B6"/>
      <name val="Arial"/>
    </font>
    <font>
      <b/>
      <sz val="11"/>
      <color rgb="FFC55A11"/>
      <name val="Arial"/>
    </font>
    <font>
      <b/>
      <sz val="11"/>
      <color rgb="FFC00000"/>
      <name val="Arial"/>
    </font>
    <font>
      <b/>
      <sz val="14"/>
      <color rgb="FFFFFFFF"/>
      <name val="Arial"/>
    </font>
    <font>
      <sz val="11"/>
      <color theme="1"/>
      <name val="Calibri"/>
      <scheme val="minor"/>
    </font>
    <font>
      <sz val="11"/>
      <color rgb="FF1E7145"/>
      <name val="Arial"/>
    </font>
    <font>
      <sz val="11"/>
      <color rgb="FF2E75B6"/>
      <name val="Arial"/>
    </font>
    <font>
      <sz val="11"/>
      <color rgb="FFC55A11"/>
      <name val="Arial"/>
    </font>
    <font>
      <sz val="11"/>
      <color rgb="FFC00000"/>
      <name val="Arial"/>
    </font>
    <font>
      <b/>
      <sz val="12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FCE4D6"/>
        <bgColor rgb="FFFCE4D6"/>
      </patternFill>
    </fill>
    <fill>
      <patternFill patternType="solid">
        <fgColor rgb="FFFFCCCC"/>
        <bgColor rgb="FFFFCCC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2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164" fontId="5" fillId="5" borderId="4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/>
    </xf>
    <xf numFmtId="164" fontId="5" fillId="6" borderId="4" xfId="0" applyNumberFormat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center" vertical="center" wrapText="1"/>
    </xf>
    <xf numFmtId="164" fontId="5" fillId="7" borderId="4" xfId="0" applyNumberFormat="1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left" vertical="center" wrapText="1"/>
    </xf>
    <xf numFmtId="164" fontId="5" fillId="8" borderId="4" xfId="0" applyNumberFormat="1" applyFont="1" applyFill="1" applyBorder="1" applyAlignment="1">
      <alignment horizontal="center" vertical="center" wrapText="1"/>
    </xf>
    <xf numFmtId="164" fontId="10" fillId="4" borderId="4" xfId="0" applyNumberFormat="1" applyFont="1" applyFill="1" applyBorder="1" applyAlignment="1">
      <alignment horizontal="center" vertical="center" wrapText="1"/>
    </xf>
    <xf numFmtId="164" fontId="11" fillId="6" borderId="4" xfId="0" applyNumberFormat="1" applyFont="1" applyFill="1" applyBorder="1" applyAlignment="1">
      <alignment horizontal="center" vertical="center" wrapText="1"/>
    </xf>
    <xf numFmtId="164" fontId="12" fillId="7" borderId="4" xfId="0" applyNumberFormat="1" applyFont="1" applyFill="1" applyBorder="1" applyAlignment="1">
      <alignment horizontal="center" vertical="center" wrapText="1"/>
    </xf>
    <xf numFmtId="164" fontId="13" fillId="8" borderId="4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10" fillId="4" borderId="4" xfId="0" applyFont="1" applyFill="1" applyBorder="1" applyAlignment="1">
      <alignment horizontal="left" vertical="center" wrapText="1"/>
    </xf>
    <xf numFmtId="164" fontId="16" fillId="4" borderId="4" xfId="0" applyNumberFormat="1" applyFont="1" applyFill="1" applyBorder="1" applyAlignment="1">
      <alignment horizontal="center" vertical="center" wrapText="1"/>
    </xf>
    <xf numFmtId="165" fontId="16" fillId="4" borderId="4" xfId="0" applyNumberFormat="1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left" vertical="center" wrapText="1"/>
    </xf>
    <xf numFmtId="164" fontId="17" fillId="6" borderId="4" xfId="0" applyNumberFormat="1" applyFont="1" applyFill="1" applyBorder="1" applyAlignment="1">
      <alignment horizontal="center" vertical="center" wrapText="1"/>
    </xf>
    <xf numFmtId="165" fontId="17" fillId="6" borderId="4" xfId="0" applyNumberFormat="1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left" vertical="center" wrapText="1"/>
    </xf>
    <xf numFmtId="164" fontId="18" fillId="7" borderId="4" xfId="0" applyNumberFormat="1" applyFont="1" applyFill="1" applyBorder="1" applyAlignment="1">
      <alignment horizontal="center" vertical="center" wrapText="1"/>
    </xf>
    <xf numFmtId="165" fontId="18" fillId="7" borderId="4" xfId="0" applyNumberFormat="1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left" vertical="center" wrapText="1"/>
    </xf>
    <xf numFmtId="164" fontId="19" fillId="8" borderId="4" xfId="0" applyNumberFormat="1" applyFont="1" applyFill="1" applyBorder="1" applyAlignment="1">
      <alignment horizontal="center" vertical="center" wrapText="1"/>
    </xf>
    <xf numFmtId="165" fontId="19" fillId="8" borderId="4" xfId="0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left" vertical="center" wrapText="1"/>
    </xf>
    <xf numFmtId="164" fontId="20" fillId="2" borderId="4" xfId="0" applyNumberFormat="1" applyFont="1" applyFill="1" applyBorder="1" applyAlignment="1">
      <alignment horizontal="center" vertical="center" wrapText="1"/>
    </xf>
    <xf numFmtId="165" fontId="20" fillId="2" borderId="4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2" fillId="0" borderId="6" xfId="0" applyFont="1" applyBorder="1"/>
    <xf numFmtId="0" fontId="2" fillId="0" borderId="7" xfId="0" applyFont="1" applyBorder="1"/>
    <xf numFmtId="0" fontId="11" fillId="6" borderId="5" xfId="0" applyFont="1" applyFill="1" applyBorder="1" applyAlignment="1">
      <alignment horizontal="left" vertical="center" wrapText="1"/>
    </xf>
    <xf numFmtId="0" fontId="12" fillId="7" borderId="5" xfId="0" applyFont="1" applyFill="1" applyBorder="1" applyAlignment="1">
      <alignment horizontal="left" vertical="center" wrapText="1"/>
    </xf>
    <xf numFmtId="0" fontId="13" fillId="8" borderId="5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AR" b="1" i="0">
                <a:solidFill>
                  <a:srgbClr val="757575"/>
                </a:solidFill>
                <a:latin typeface="+mn-lt"/>
              </a:rPr>
              <a:t>Costos de Calidad por Categoría (USD)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'Resumen y Gráficos'!$C$3</c:f>
              <c:strCache>
                <c:ptCount val="1"/>
                <c:pt idx="0">
                  <c:v>Monto (USD)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010-4F03-9D81-E7FD338A5330}"/>
              </c:ext>
            </c:extLst>
          </c:dPt>
          <c:dPt>
            <c:idx val="1"/>
            <c:invertIfNegative val="1"/>
            <c:bubble3D val="0"/>
            <c:spPr>
              <a:solidFill>
                <a:srgbClr val="3C78D8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010-4F03-9D81-E7FD338A5330}"/>
              </c:ext>
            </c:extLst>
          </c:dPt>
          <c:dPt>
            <c:idx val="2"/>
            <c:invertIfNegative val="1"/>
            <c:bubble3D val="0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010-4F03-9D81-E7FD338A5330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F010-4F03-9D81-E7FD338A5330}"/>
              </c:ext>
            </c:extLst>
          </c:dPt>
          <c:cat>
            <c:strRef>
              <c:f>'Resumen y Gráficos'!$B$4:$B$7</c:f>
              <c:strCache>
                <c:ptCount val="4"/>
                <c:pt idx="0">
                  <c:v>Prevención</c:v>
                </c:pt>
                <c:pt idx="1">
                  <c:v>Evaluación</c:v>
                </c:pt>
                <c:pt idx="2">
                  <c:v>Fallas Internas</c:v>
                </c:pt>
                <c:pt idx="3">
                  <c:v>Fallas Externas</c:v>
                </c:pt>
              </c:strCache>
            </c:strRef>
          </c:cat>
          <c:val>
            <c:numRef>
              <c:f>'Resumen y Gráficos'!$C$4:$C$7</c:f>
              <c:numCache>
                <c:formatCode>"$"#,##0</c:formatCode>
                <c:ptCount val="4"/>
                <c:pt idx="0">
                  <c:v>27900</c:v>
                </c:pt>
                <c:pt idx="1">
                  <c:v>47800</c:v>
                </c:pt>
                <c:pt idx="2">
                  <c:v>48500</c:v>
                </c:pt>
                <c:pt idx="3">
                  <c:v>82500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F010-4F03-9D81-E7FD338A5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5047226"/>
        <c:axId val="288200772"/>
        <c:axId val="0"/>
      </c:bar3DChart>
      <c:catAx>
        <c:axId val="13750472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1" i="0">
                    <a:solidFill>
                      <a:srgbClr val="000000"/>
                    </a:solidFill>
                    <a:latin typeface="+mn-lt"/>
                  </a:rPr>
                  <a:t>Categoría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288200772"/>
        <c:crosses val="autoZero"/>
        <c:auto val="1"/>
        <c:lblAlgn val="ctr"/>
        <c:lblOffset val="100"/>
        <c:noMultiLvlLbl val="1"/>
      </c:catAx>
      <c:valAx>
        <c:axId val="288200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1" i="0">
                    <a:solidFill>
                      <a:srgbClr val="000000"/>
                    </a:solidFill>
                    <a:latin typeface="+mn-lt"/>
                  </a:rPr>
                  <a:t>Monto (USD)</a:t>
                </a:r>
              </a:p>
            </c:rich>
          </c:tx>
          <c:overlay val="0"/>
        </c:title>
        <c:numFmt formatCode="&quot;$&quot;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3750472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AR" b="1" i="0">
                <a:solidFill>
                  <a:srgbClr val="757575"/>
                </a:solidFill>
                <a:latin typeface="+mn-lt"/>
              </a:rPr>
              <a:t>Distribución Porcentual de Costos de Calidad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1E7145"/>
              </a:solidFill>
            </c:spPr>
            <c:extLst>
              <c:ext xmlns:c16="http://schemas.microsoft.com/office/drawing/2014/chart" uri="{C3380CC4-5D6E-409C-BE32-E72D297353CC}">
                <c16:uniqueId val="{00000001-88DB-4DFD-B930-571FBE7C8342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</c:spPr>
            <c:extLst>
              <c:ext xmlns:c16="http://schemas.microsoft.com/office/drawing/2014/chart" uri="{C3380CC4-5D6E-409C-BE32-E72D297353CC}">
                <c16:uniqueId val="{00000003-88DB-4DFD-B930-571FBE7C8342}"/>
              </c:ext>
            </c:extLst>
          </c:dPt>
          <c:dPt>
            <c:idx val="2"/>
            <c:bubble3D val="0"/>
            <c:spPr>
              <a:solidFill>
                <a:srgbClr val="C55A11"/>
              </a:solidFill>
            </c:spPr>
            <c:extLst>
              <c:ext xmlns:c16="http://schemas.microsoft.com/office/drawing/2014/chart" uri="{C3380CC4-5D6E-409C-BE32-E72D297353CC}">
                <c16:uniqueId val="{00000005-88DB-4DFD-B930-571FBE7C8342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88DB-4DFD-B930-571FBE7C83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>
                    <a:solidFill>
                      <a:schemeClr val="bg1"/>
                    </a:solidFill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'Resumen y Gráficos'!$B$4:$B$7</c:f>
              <c:strCache>
                <c:ptCount val="4"/>
                <c:pt idx="0">
                  <c:v>Prevención</c:v>
                </c:pt>
                <c:pt idx="1">
                  <c:v>Evaluación</c:v>
                </c:pt>
                <c:pt idx="2">
                  <c:v>Fallas Internas</c:v>
                </c:pt>
                <c:pt idx="3">
                  <c:v>Fallas Externas</c:v>
                </c:pt>
              </c:strCache>
            </c:strRef>
          </c:cat>
          <c:val>
            <c:numRef>
              <c:f>'Resumen y Gráficos'!$C$4:$C$7</c:f>
              <c:numCache>
                <c:formatCode>"$"#,##0</c:formatCode>
                <c:ptCount val="4"/>
                <c:pt idx="0">
                  <c:v>27900</c:v>
                </c:pt>
                <c:pt idx="1">
                  <c:v>47800</c:v>
                </c:pt>
                <c:pt idx="2">
                  <c:v>48500</c:v>
                </c:pt>
                <c:pt idx="3">
                  <c:v>82500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DB-4DFD-B930-571FBE7C8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8</xdr:row>
      <xdr:rowOff>19050</xdr:rowOff>
    </xdr:from>
    <xdr:ext cx="6477000" cy="43148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85725</xdr:colOff>
      <xdr:row>8</xdr:row>
      <xdr:rowOff>19050</xdr:rowOff>
    </xdr:from>
    <xdr:ext cx="6477000" cy="43148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285750</xdr:colOff>
      <xdr:row>1</xdr:row>
      <xdr:rowOff>95250</xdr:rowOff>
    </xdr:from>
    <xdr:ext cx="5781675" cy="14192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910650" y="480350"/>
          <a:ext cx="5764200" cy="1401000"/>
        </a:xfrm>
        <a:prstGeom prst="rect">
          <a:avLst/>
        </a:prstGeom>
        <a:solidFill>
          <a:srgbClr val="FFFFFF"/>
        </a:solidFill>
        <a:ln w="1905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Los costos de fallas totalizaron $131.000 USD (63% del CoQ), siendo los más críticos la penalización regulatoria por caída de, los hotfixes de emergencia</a:t>
          </a:r>
          <a:r>
            <a:rPr lang="en-US" sz="1200" baseline="0"/>
            <a:t> </a:t>
          </a:r>
          <a:r>
            <a:rPr lang="en-US" sz="1200"/>
            <a:t>y el retrabajo por requisitos mal definidos.</a:t>
          </a:r>
          <a:r>
            <a:rPr lang="en-US" sz="1200" baseline="0"/>
            <a:t> </a:t>
          </a:r>
          <a:r>
            <a:rPr lang="en-US" sz="1200"/>
            <a:t>A partir de esto podemos concluir que los defectos se detectaron demasiado tarde y los requisitos fueron inestables. La solución principal es invertir más en prevención temprana, mejor definición de requisitos antes de codificar y testing desde las etapas iniciales.</a:t>
          </a:r>
          <a:endParaRPr sz="12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sqref="A1:E1"/>
    </sheetView>
  </sheetViews>
  <sheetFormatPr baseColWidth="10" defaultColWidth="14.42578125" defaultRowHeight="15" customHeight="1"/>
  <cols>
    <col min="1" max="1" width="5" customWidth="1"/>
    <col min="2" max="2" width="9.5703125" customWidth="1"/>
    <col min="3" max="3" width="57.28515625" customWidth="1"/>
    <col min="4" max="4" width="18" customWidth="1"/>
    <col min="5" max="5" width="22.42578125" customWidth="1"/>
    <col min="6" max="25" width="8.7109375" customWidth="1"/>
  </cols>
  <sheetData>
    <row r="1" spans="1:5">
      <c r="A1" s="43" t="s">
        <v>0</v>
      </c>
      <c r="B1" s="44"/>
      <c r="C1" s="44"/>
      <c r="D1" s="44"/>
      <c r="E1" s="45"/>
    </row>
    <row r="2" spans="1:5">
      <c r="A2" s="46"/>
      <c r="B2" s="44"/>
      <c r="C2" s="44"/>
      <c r="D2" s="44"/>
      <c r="E2" s="45"/>
    </row>
    <row r="4" spans="1:5" ht="28.5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ht="31.5" customHeight="1">
      <c r="A5" s="2">
        <v>1</v>
      </c>
      <c r="B5" s="2" t="s">
        <v>6</v>
      </c>
      <c r="C5" s="3" t="s">
        <v>7</v>
      </c>
      <c r="D5" s="4" t="s">
        <v>8</v>
      </c>
      <c r="E5" s="5">
        <v>8500</v>
      </c>
    </row>
    <row r="6" spans="1:5" ht="31.5" customHeight="1">
      <c r="A6" s="6">
        <v>2</v>
      </c>
      <c r="B6" s="6" t="s">
        <v>9</v>
      </c>
      <c r="C6" s="7" t="s">
        <v>10</v>
      </c>
      <c r="D6" s="4" t="s">
        <v>8</v>
      </c>
      <c r="E6" s="8">
        <v>5200</v>
      </c>
    </row>
    <row r="7" spans="1:5" ht="31.5" customHeight="1">
      <c r="A7" s="2">
        <v>3</v>
      </c>
      <c r="B7" s="2" t="s">
        <v>11</v>
      </c>
      <c r="C7" s="3" t="s">
        <v>12</v>
      </c>
      <c r="D7" s="4" t="s">
        <v>8</v>
      </c>
      <c r="E7" s="5">
        <v>6800</v>
      </c>
    </row>
    <row r="8" spans="1:5" ht="31.5" customHeight="1">
      <c r="A8" s="6">
        <v>4</v>
      </c>
      <c r="B8" s="6" t="s">
        <v>13</v>
      </c>
      <c r="C8" s="7" t="s">
        <v>14</v>
      </c>
      <c r="D8" s="4" t="s">
        <v>8</v>
      </c>
      <c r="E8" s="8">
        <v>4100</v>
      </c>
    </row>
    <row r="9" spans="1:5" ht="31.5" customHeight="1">
      <c r="A9" s="2">
        <v>5</v>
      </c>
      <c r="B9" s="2" t="s">
        <v>15</v>
      </c>
      <c r="C9" s="3" t="s">
        <v>16</v>
      </c>
      <c r="D9" s="4" t="s">
        <v>8</v>
      </c>
      <c r="E9" s="5">
        <v>3300</v>
      </c>
    </row>
    <row r="10" spans="1:5" ht="31.5" customHeight="1">
      <c r="A10" s="6">
        <v>6</v>
      </c>
      <c r="B10" s="6" t="s">
        <v>17</v>
      </c>
      <c r="C10" s="7" t="s">
        <v>18</v>
      </c>
      <c r="D10" s="9" t="s">
        <v>19</v>
      </c>
      <c r="E10" s="8">
        <v>14500</v>
      </c>
    </row>
    <row r="11" spans="1:5" ht="31.5" customHeight="1">
      <c r="A11" s="10">
        <v>7</v>
      </c>
      <c r="B11" s="10" t="s">
        <v>20</v>
      </c>
      <c r="C11" s="11" t="s">
        <v>21</v>
      </c>
      <c r="D11" s="9" t="s">
        <v>19</v>
      </c>
      <c r="E11" s="12">
        <v>11200</v>
      </c>
    </row>
    <row r="12" spans="1:5" ht="31.5" customHeight="1">
      <c r="A12" s="6">
        <v>8</v>
      </c>
      <c r="B12" s="6" t="s">
        <v>22</v>
      </c>
      <c r="C12" s="7" t="s">
        <v>23</v>
      </c>
      <c r="D12" s="9" t="s">
        <v>19</v>
      </c>
      <c r="E12" s="8">
        <v>9800</v>
      </c>
    </row>
    <row r="13" spans="1:5" ht="31.5" customHeight="1">
      <c r="A13" s="10">
        <v>9</v>
      </c>
      <c r="B13" s="10" t="s">
        <v>24</v>
      </c>
      <c r="C13" s="11" t="s">
        <v>25</v>
      </c>
      <c r="D13" s="9" t="s">
        <v>19</v>
      </c>
      <c r="E13" s="12">
        <v>4600</v>
      </c>
    </row>
    <row r="14" spans="1:5" ht="31.5" customHeight="1">
      <c r="A14" s="6">
        <v>10</v>
      </c>
      <c r="B14" s="6" t="s">
        <v>26</v>
      </c>
      <c r="C14" s="7" t="s">
        <v>27</v>
      </c>
      <c r="D14" s="9" t="s">
        <v>19</v>
      </c>
      <c r="E14" s="8">
        <v>7700</v>
      </c>
    </row>
    <row r="15" spans="1:5" ht="31.5" customHeight="1">
      <c r="A15" s="13">
        <v>11</v>
      </c>
      <c r="B15" s="13" t="s">
        <v>28</v>
      </c>
      <c r="C15" s="14" t="s">
        <v>29</v>
      </c>
      <c r="D15" s="15" t="s">
        <v>30</v>
      </c>
      <c r="E15" s="16">
        <v>18400</v>
      </c>
    </row>
    <row r="16" spans="1:5" ht="31.5" customHeight="1">
      <c r="A16" s="6">
        <v>12</v>
      </c>
      <c r="B16" s="6" t="s">
        <v>31</v>
      </c>
      <c r="C16" s="7" t="s">
        <v>32</v>
      </c>
      <c r="D16" s="15" t="s">
        <v>30</v>
      </c>
      <c r="E16" s="8">
        <v>12600</v>
      </c>
    </row>
    <row r="17" spans="1:5" ht="31.5" customHeight="1">
      <c r="A17" s="13">
        <v>13</v>
      </c>
      <c r="B17" s="13" t="s">
        <v>33</v>
      </c>
      <c r="C17" s="14" t="s">
        <v>34</v>
      </c>
      <c r="D17" s="15" t="s">
        <v>30</v>
      </c>
      <c r="E17" s="16">
        <v>5400</v>
      </c>
    </row>
    <row r="18" spans="1:5" ht="31.5" customHeight="1">
      <c r="A18" s="6">
        <v>14</v>
      </c>
      <c r="B18" s="6" t="s">
        <v>35</v>
      </c>
      <c r="C18" s="7" t="s">
        <v>36</v>
      </c>
      <c r="D18" s="15" t="s">
        <v>30</v>
      </c>
      <c r="E18" s="8">
        <v>3900</v>
      </c>
    </row>
    <row r="19" spans="1:5" ht="31.5" customHeight="1">
      <c r="A19" s="13">
        <v>15</v>
      </c>
      <c r="B19" s="13" t="s">
        <v>37</v>
      </c>
      <c r="C19" s="14" t="s">
        <v>38</v>
      </c>
      <c r="D19" s="15" t="s">
        <v>30</v>
      </c>
      <c r="E19" s="16">
        <v>8200</v>
      </c>
    </row>
    <row r="20" spans="1:5" ht="31.5" customHeight="1">
      <c r="A20" s="6">
        <v>16</v>
      </c>
      <c r="B20" s="6" t="s">
        <v>39</v>
      </c>
      <c r="C20" s="7" t="s">
        <v>40</v>
      </c>
      <c r="D20" s="17" t="s">
        <v>41</v>
      </c>
      <c r="E20" s="8">
        <v>21000</v>
      </c>
    </row>
    <row r="21" spans="1:5" ht="31.5" customHeight="1">
      <c r="A21" s="18">
        <v>17</v>
      </c>
      <c r="B21" s="18" t="s">
        <v>42</v>
      </c>
      <c r="C21" s="19" t="s">
        <v>43</v>
      </c>
      <c r="D21" s="17" t="s">
        <v>41</v>
      </c>
      <c r="E21" s="20">
        <v>15300</v>
      </c>
    </row>
    <row r="22" spans="1:5" ht="31.5" customHeight="1">
      <c r="A22" s="6">
        <v>18</v>
      </c>
      <c r="B22" s="6" t="s">
        <v>44</v>
      </c>
      <c r="C22" s="7" t="s">
        <v>45</v>
      </c>
      <c r="D22" s="17" t="s">
        <v>41</v>
      </c>
      <c r="E22" s="8">
        <v>25000</v>
      </c>
    </row>
    <row r="23" spans="1:5" ht="31.5" customHeight="1">
      <c r="A23" s="18">
        <v>19</v>
      </c>
      <c r="B23" s="18" t="s">
        <v>46</v>
      </c>
      <c r="C23" s="19" t="s">
        <v>47</v>
      </c>
      <c r="D23" s="17" t="s">
        <v>41</v>
      </c>
      <c r="E23" s="20">
        <v>11500</v>
      </c>
    </row>
    <row r="24" spans="1:5" ht="31.5" customHeight="1">
      <c r="A24" s="6">
        <v>20</v>
      </c>
      <c r="B24" s="6" t="s">
        <v>48</v>
      </c>
      <c r="C24" s="7" t="s">
        <v>49</v>
      </c>
      <c r="D24" s="17" t="s">
        <v>41</v>
      </c>
      <c r="E24" s="8">
        <v>9700</v>
      </c>
    </row>
    <row r="25" spans="1:5" ht="15.75" customHeight="1"/>
    <row r="26" spans="1:5" ht="21.75" customHeight="1">
      <c r="A26" s="47" t="s">
        <v>50</v>
      </c>
      <c r="B26" s="48"/>
      <c r="C26" s="48"/>
      <c r="D26" s="49"/>
      <c r="E26" s="21">
        <f>SUMIF(D5:D24,"Prevención",E5:E24)</f>
        <v>27900</v>
      </c>
    </row>
    <row r="27" spans="1:5" ht="21.75" customHeight="1">
      <c r="A27" s="50" t="s">
        <v>51</v>
      </c>
      <c r="B27" s="48"/>
      <c r="C27" s="48"/>
      <c r="D27" s="49"/>
      <c r="E27" s="22">
        <f>SUMIF(D5:D24,"Evaluación",E5:E24)</f>
        <v>47800</v>
      </c>
    </row>
    <row r="28" spans="1:5" ht="21.75" customHeight="1">
      <c r="A28" s="51" t="s">
        <v>52</v>
      </c>
      <c r="B28" s="48"/>
      <c r="C28" s="48"/>
      <c r="D28" s="49"/>
      <c r="E28" s="23">
        <f>SUMIF(D5:D24,"Fallas Internas",E5:E24)</f>
        <v>48500</v>
      </c>
    </row>
    <row r="29" spans="1:5" ht="21.75" customHeight="1">
      <c r="A29" s="52" t="s">
        <v>53</v>
      </c>
      <c r="B29" s="48"/>
      <c r="C29" s="48"/>
      <c r="D29" s="49"/>
      <c r="E29" s="24">
        <f>SUMIF(D5:D24,"Fallas Externas",E5:E24)</f>
        <v>82500</v>
      </c>
    </row>
    <row r="30" spans="1:5" ht="15.75" customHeight="1"/>
    <row r="31" spans="1:5" ht="25.5" customHeight="1">
      <c r="A31" s="53" t="s">
        <v>54</v>
      </c>
      <c r="B31" s="48"/>
      <c r="C31" s="48"/>
      <c r="D31" s="49"/>
      <c r="E31" s="25">
        <f>SUM(E26:E29)</f>
        <v>206700</v>
      </c>
    </row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9:D29"/>
    <mergeCell ref="A31:D31"/>
    <mergeCell ref="A1:E1"/>
    <mergeCell ref="A2:E2"/>
    <mergeCell ref="A26:D26"/>
    <mergeCell ref="A27:D27"/>
    <mergeCell ref="A28:D28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5"/>
  <sheetViews>
    <sheetView tabSelected="1" workbookViewId="0">
      <selection activeCell="R6" sqref="R6"/>
    </sheetView>
  </sheetViews>
  <sheetFormatPr baseColWidth="10" defaultColWidth="14.42578125" defaultRowHeight="15" customHeight="1"/>
  <cols>
    <col min="1" max="1" width="4" customWidth="1"/>
    <col min="2" max="2" width="26" customWidth="1"/>
    <col min="3" max="4" width="18" customWidth="1"/>
    <col min="5" max="5" width="23.85546875" customWidth="1"/>
    <col min="6" max="6" width="8.7109375" customWidth="1"/>
    <col min="7" max="7" width="9" customWidth="1"/>
    <col min="8" max="26" width="8.7109375" customWidth="1"/>
  </cols>
  <sheetData>
    <row r="1" spans="1:7" ht="30" customHeight="1">
      <c r="A1" s="54" t="s">
        <v>55</v>
      </c>
      <c r="B1" s="44"/>
      <c r="C1" s="44"/>
      <c r="D1" s="44"/>
      <c r="E1" s="45"/>
    </row>
    <row r="3" spans="1:7" ht="21.75" customHeight="1">
      <c r="B3" s="26" t="s">
        <v>4</v>
      </c>
      <c r="C3" s="26" t="s">
        <v>56</v>
      </c>
      <c r="D3" s="26" t="s">
        <v>57</v>
      </c>
      <c r="G3" s="27"/>
    </row>
    <row r="4" spans="1:7" ht="21.75" customHeight="1">
      <c r="B4" s="28" t="s">
        <v>8</v>
      </c>
      <c r="C4" s="29">
        <v>27900</v>
      </c>
      <c r="D4" s="30">
        <f>C4/C8</f>
        <v>0.13497822931785197</v>
      </c>
    </row>
    <row r="5" spans="1:7" ht="21.75" customHeight="1">
      <c r="B5" s="31" t="s">
        <v>19</v>
      </c>
      <c r="C5" s="32">
        <v>47800</v>
      </c>
      <c r="D5" s="33">
        <f>C5/C8</f>
        <v>0.23125302370585391</v>
      </c>
    </row>
    <row r="6" spans="1:7" ht="21.75" customHeight="1">
      <c r="B6" s="34" t="s">
        <v>30</v>
      </c>
      <c r="C6" s="35">
        <v>48500</v>
      </c>
      <c r="D6" s="36">
        <f>C6/C8</f>
        <v>0.23463957426221577</v>
      </c>
    </row>
    <row r="7" spans="1:7" ht="21.75" customHeight="1">
      <c r="B7" s="37" t="s">
        <v>41</v>
      </c>
      <c r="C7" s="38">
        <v>82500</v>
      </c>
      <c r="D7" s="39">
        <f>C7/C8</f>
        <v>0.39912917271407838</v>
      </c>
    </row>
    <row r="8" spans="1:7" ht="24" customHeight="1">
      <c r="B8" s="40" t="s">
        <v>58</v>
      </c>
      <c r="C8" s="41">
        <f>SUM(C4:C7)</f>
        <v>206700</v>
      </c>
      <c r="D8" s="42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A1:E1"/>
  </mergeCells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Costos de Calidad</vt:lpstr>
      <vt:lpstr>Resumen y 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Mundo Steam</cp:lastModifiedBy>
  <dcterms:modified xsi:type="dcterms:W3CDTF">2026-05-06T23:37:06Z</dcterms:modified>
</cp:coreProperties>
</file>